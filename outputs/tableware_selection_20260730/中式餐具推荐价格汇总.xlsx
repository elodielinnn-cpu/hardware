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bc64d46af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餐具明细" sheetId="1" r:id="R642bcfdfa8ca407e"/>
    <x:sheet xmlns:r="http://schemas.openxmlformats.org/officeDocument/2006/relationships" name="系列汇总" sheetId="2" r:id="R55f5ece37cb6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"/>
    <x:numFmt numFmtId="201" formatCode="#,##0"/>
  </x:numFmts>
  <x:fonts count="10">
    <x:font>
      <x:sz val="11"/>
      <x:name val="Carlito"/>
    </x:font>
    <x:font>
      <x:b/>
      <x:sz val="20"/>
      <x:color rgb="FFFFFFFF"/>
      <x:name val="Aptos Display"/>
    </x:font>
    <x:font>
      <x:sz val="10"/>
      <x:color rgb="FF33546F"/>
      <x:name val="Aptos"/>
    </x:font>
    <x:font>
      <x:b/>
      <x:sz val="10"/>
      <x:color rgb="FF17365D"/>
      <x:name val="Aptos"/>
    </x:font>
    <x:font>
      <x:b/>
      <x:sz val="10"/>
      <x:color rgb="FF7F6000"/>
      <x:name val="Aptos"/>
    </x:font>
    <x:font>
      <x:b/>
      <x:sz val="10"/>
      <x:color rgb="FF375623"/>
      <x:name val="Aptos"/>
    </x:font>
    <x:font>
      <x:b/>
      <x:sz val="10"/>
      <x:color rgb="FFC00000"/>
      <x:name val="Aptos"/>
    </x:font>
    <x:font>
      <x:i/>
      <x:sz val="9"/>
      <x:color rgb="FF7F6000"/>
      <x:name val="Aptos"/>
    </x:font>
    <x:font>
      <x:b/>
      <x:sz val="10"/>
      <x:color rgb="FFFFFFFF"/>
      <x:name val="Aptos"/>
    </x:font>
    <x:font>
      <x:sz val="10"/>
      <x:color rgb="FF1F1F1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horizontal="right" vertical="center"/>
    </x:xf>
    <x:xf numFmtId="0" fontId="3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left"/>
    </x:xf>
    <x:xf numFmtId="0" fontId="7" fillId="5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200" fontId="9" fillId="0" borderId="0" xfId="0" applyNumberFormat="1" applyFont="1" applyFill="1" applyBorder="1" applyAlignment="1">
      <x:alignment horizontal="right" vertical="center"/>
    </x:xf>
    <x:xf numFmtId="201" fontId="9" fillId="0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vertical="center" wrapText="1"/>
    </x:xf>
    <x:xf numFmtId="200" fontId="6" fillId="7" borderId="0" xfId="0" applyNumberFormat="1" applyFont="1" applyFill="1" applyBorder="1" applyAlignment="1">
      <x:alignment vertical="center"/>
    </x:xf>
    <x:xf numFmtId="200" fontId="6" fillId="7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b5ecac7a243db" /><Relationship Type="http://schemas.openxmlformats.org/officeDocument/2006/relationships/theme" Target="/xl/theme/theme1.xml" Id="Rb35e9f5f1b6d42f7" /><Relationship Type="http://schemas.openxmlformats.org/officeDocument/2006/relationships/sharedStrings" Target="/xl/sharedStrings.xml" Id="R8f73f0a6c4c848e2" /><Relationship Type="http://schemas.openxmlformats.org/officeDocument/2006/relationships/worksheet" Target="/xl/worksheets/sheet1.xml" Id="R642bcfdfa8ca407e" /><Relationship Type="http://schemas.openxmlformats.org/officeDocument/2006/relationships/worksheet" Target="/xl/worksheets/sheet2.xml" Id="R55f5ece37cb64654" /></Relationships>
</file>

<file path=xl/tables/table1.xml><?xml version="1.0" encoding="utf-8"?>
<x:table xmlns:x="http://schemas.openxmlformats.org/spreadsheetml/2006/main" id="1" name="TablewareDetailTable" displayName="TablewareDetailTable" ref="A5:O17" headerRowCount="1" totalsRowCount="0" totalsRowShown="0">
  <x:autoFilter ref="A5:O17"/>
  <x:tableColumns count="15">
    <x:tableColumn id="1" name="序号"/>
    <x:tableColumn id="2" name="品牌"/>
    <x:tableColumn id="3" name="系列"/>
    <x:tableColumn id="4" name="型号/花型"/>
    <x:tableColumn id="5" name="品类"/>
    <x:tableColumn id="6" name="英文名称"/>
    <x:tableColumn id="7" name="规格/描述"/>
    <x:tableColumn id="8" name="单价（RMB）"/>
    <x:tableColumn id="9" name="数量（件）"/>
    <x:tableColumn id="10" name="计算金额（RMB）"/>
    <x:tableColumn id="11" name="PDF标注金额（RMB）"/>
    <x:tableColumn id="12" name="核对"/>
    <x:tableColumn id="13" name="PDF页码"/>
    <x:tableColumn id="14" name="来源文件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wareSeriesTable" displayName="TablewareSeriesTable" ref="A4:I8" headerRowCount="1" totalsRowCount="0" totalsRowShown="0">
  <x:autoFilter ref="A4:I8"/>
  <x:tableColumns count="9">
    <x:tableColumn id="1" name="品牌"/>
    <x:tableColumn id="2" name="系列/款式"/>
    <x:tableColumn id="3" name="明细数"/>
    <x:tableColumn id="4" name="PDF标注总价（RMB）"/>
    <x:tableColumn id="5" name="计算总价（RMB）"/>
    <x:tableColumn id="6" name="差额（RMB）"/>
    <x:tableColumn id="7" name="核对"/>
    <x:tableColumn id="8" name="来源文件"/>
    <x:tableColumn id="9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2e2dcb038341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f5a1bbd6134f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19" hidden="0" customWidth="1"/>
    <x:col min="4" max="4" width="22" hidden="0" customWidth="1"/>
    <x:col min="5" max="5" width="13" hidden="0" customWidth="1"/>
    <x:col min="6" max="6" width="14" hidden="0" customWidth="1"/>
    <x:col min="7" max="7" width="27" hidden="0" customWidth="1"/>
    <x:col min="8" max="8" width="15" hidden="0" customWidth="1"/>
    <x:col min="9" max="9" width="13" hidden="0" customWidth="1"/>
    <x:col min="10" max="10" width="20" hidden="0" customWidth="1"/>
    <x:col min="11" max="11" width="20" hidden="0" customWidth="1"/>
    <x:col min="12" max="12" width="12" hidden="0" customWidth="1"/>
    <x:col min="13" max="13" width="12" hidden="0" customWidth="1"/>
    <x:col min="14" max="14" width="39" hidden="0" customWidth="1"/>
    <x:col min="15" max="15" width="34" hidden="0" customWidth="1"/>
  </x:cols>
  <x:sheetData>
    <x:row r="1" ht="34" customHeight="1">
      <x:c r="A1" s="4" t="str">
        <x:v>中式餐具推荐及价格明细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4" customHeight="1">
      <x:c r="A2" s="8" t="str">
        <x:v>来源：Wedgwood、玛戈隆特、Noritake 三份 PDF｜价格币种：人民币（RMB）｜数量单位：件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>
      <x:c r="A3" s="11" t="str">
        <x:v>明细条目数</x:v>
      </x:c>
      <x:c r="B3" s="11"/>
      <x:c r="C3" s="11"/>
      <x:c r="D3" s="14" t="n">
        <x:f>COUNTA(A6:A17)</x:f>
        <x:v>12</x:v>
      </x:c>
      <x:c r="E3" s="11" t="str">
        <x:v>PDF 标注金额合计</x:v>
      </x:c>
      <x:c r="F3" s="11"/>
      <x:c r="G3" s="11"/>
      <x:c r="H3" s="18" t="n">
        <x:f>SUM(K6:K17)</x:f>
        <x:v>26446</x:v>
      </x:c>
      <x:c r="I3" s="18"/>
      <x:c r="J3" s="11" t="str">
        <x:v>金额核对结果</x:v>
      </x:c>
      <x:c r="K3" s="11"/>
      <x:c r="L3" s="11"/>
      <x:c r="M3" s="21" t="str">
        <x:f>IF(COUNTIF(L6:L17,"&lt;&gt;一致")=0,"全部一致","存在需核对项")</x:f>
        <x:v>存在需核对项</x:v>
      </x:c>
      <x:c r="N3" s="21"/>
      <x:c r="O3" s="21"/>
    </x:row>
    <x:row r="4" ht="23" customHeight="1">
      <x:c r="A4" s="25" t="str">
        <x:v>说明：“计算金额”为单价 × 数量；“PDF标注金额”为源文件行金额。两者不一致时保留原值并提示核对。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</x:row>
    <x:row r="5" ht="34" customHeight="1">
      <x:c r="A5" s="30" t="str">
        <x:v>序号</x:v>
      </x:c>
      <x:c r="B5" s="30" t="str">
        <x:v>品牌</x:v>
      </x:c>
      <x:c r="C5" s="30" t="str">
        <x:v>系列</x:v>
      </x:c>
      <x:c r="D5" s="30" t="str">
        <x:v>型号/花型</x:v>
      </x:c>
      <x:c r="E5" s="30" t="str">
        <x:v>品类</x:v>
      </x:c>
      <x:c r="F5" s="30" t="str">
        <x:v>英文名称</x:v>
      </x:c>
      <x:c r="G5" s="30" t="str">
        <x:v>规格/描述</x:v>
      </x:c>
      <x:c r="H5" s="30" t="str">
        <x:v>单价（RMB）</x:v>
      </x:c>
      <x:c r="I5" s="30" t="str">
        <x:v>数量（件）</x:v>
      </x:c>
      <x:c r="J5" s="30" t="str">
        <x:v>计算金额（RMB）</x:v>
      </x:c>
      <x:c r="K5" s="30" t="str">
        <x:v>PDF标注金额（RMB）</x:v>
      </x:c>
      <x:c r="L5" s="30" t="str">
        <x:v>核对</x:v>
      </x:c>
      <x:c r="M5" s="30" t="str">
        <x:v>PDF页码</x:v>
      </x:c>
      <x:c r="N5" s="30" t="str">
        <x:v>来源文件</x:v>
      </x:c>
      <x:c r="O5" s="30" t="str">
        <x:v>备注</x:v>
      </x:c>
    </x:row>
    <x:row r="6" ht="34" customHeight="1">
      <x:c r="A6" s="33" t="n">
        <x:v>1</x:v>
      </x:c>
      <x:c r="B6" s="32" t="str">
        <x:v>WEDGWOOD（威基伍德）</x:v>
      </x:c>
      <x:c r="C6" s="32" t="str">
        <x:v>意大利浮雕系列</x:v>
      </x:c>
      <x:c r="D6" s="32" t="str">
        <x:v>PDF未注明</x:v>
      </x:c>
      <x:c r="E6" s="32" t="str">
        <x:v>米饭碗</x:v>
      </x:c>
      <x:c r="F6" s="32" t="str">
        <x:v>Rice Bowl</x:v>
      </x:c>
      <x:c r="G6" s="32" t="str"/>
      <x:c r="H6" s="35" t="n">
        <x:v>200</x:v>
      </x:c>
      <x:c r="I6" s="36" t="n">
        <x:v>14</x:v>
      </x:c>
      <x:c r="J6" s="35" t="n">
        <x:f>H6*I6</x:f>
        <x:v>2800</x:v>
      </x:c>
      <x:c r="K6" s="35" t="n">
        <x:v>5810</x:v>
      </x:c>
      <x:c r="L6" s="33" t="str">
        <x:f>IF(J6=K6,"一致","需核对")</x:f>
        <x:v>需核对</x:v>
      </x:c>
      <x:c r="M6" s="33" t="n">
        <x:v>1</x:v>
      </x:c>
      <x:c r="N6" s="37" t="str">
        <x:v>中式餐具推荐及价格参考-Wedgwood.pdf</x:v>
      </x:c>
      <x:c r="O6" s="37" t="str">
        <x:v>PDF 行金额与单价 × 数量不一致</x:v>
      </x:c>
    </x:row>
    <x:row r="7" ht="34" customHeight="1">
      <x:c r="A7" s="33" t="n">
        <x:v>2</x:v>
      </x:c>
      <x:c r="B7" s="32" t="str">
        <x:v>WEDGWOOD（威基伍德）</x:v>
      </x:c>
      <x:c r="C7" s="32" t="str">
        <x:v>意大利浮雕系列</x:v>
      </x:c>
      <x:c r="D7" s="32" t="str">
        <x:v>PDF未注明</x:v>
      </x:c>
      <x:c r="E7" s="32" t="str">
        <x:v>汤碗</x:v>
      </x:c>
      <x:c r="F7" s="32" t="str">
        <x:v>Soup Bowl</x:v>
      </x:c>
      <x:c r="G7" s="32" t="str"/>
      <x:c r="H7" s="35" t="n">
        <x:v>230</x:v>
      </x:c>
      <x:c r="I7" s="36" t="n">
        <x:v>14</x:v>
      </x:c>
      <x:c r="J7" s="35" t="n">
        <x:f>H7*I7</x:f>
        <x:v>3220</x:v>
      </x:c>
      <x:c r="K7" s="35" t="n">
        <x:v>5810</x:v>
      </x:c>
      <x:c r="L7" s="33" t="str">
        <x:f>IF(J7=K7,"一致","需核对")</x:f>
        <x:v>需核对</x:v>
      </x:c>
      <x:c r="M7" s="33" t="n">
        <x:v>1</x:v>
      </x:c>
      <x:c r="N7" s="37" t="str">
        <x:v>中式餐具推荐及价格参考-Wedgwood.pdf</x:v>
      </x:c>
      <x:c r="O7" s="37" t="str">
        <x:v>PDF 行金额与单价 × 数量不一致</x:v>
      </x:c>
    </x:row>
    <x:row r="8" ht="34" customHeight="1">
      <x:c r="A8" s="33" t="n">
        <x:v>3</x:v>
      </x:c>
      <x:c r="B8" s="32" t="str">
        <x:v>WEDGWOOD（威基伍德）</x:v>
      </x:c>
      <x:c r="C8" s="32" t="str">
        <x:v>意大利浮雕系列</x:v>
      </x:c>
      <x:c r="D8" s="32" t="str">
        <x:v>PDF未注明</x:v>
      </x:c>
      <x:c r="E8" s="32" t="str">
        <x:v>汤勺</x:v>
      </x:c>
      <x:c r="F8" s="32" t="str">
        <x:v>Spoon</x:v>
      </x:c>
      <x:c r="G8" s="32" t="str"/>
      <x:c r="H8" s="35" t="n">
        <x:v>300</x:v>
      </x:c>
      <x:c r="I8" s="36" t="n">
        <x:v>14</x:v>
      </x:c>
      <x:c r="J8" s="35" t="n">
        <x:f>H8*I8</x:f>
        <x:v>4200</x:v>
      </x:c>
      <x:c r="K8" s="35" t="n">
        <x:v>4200</x:v>
      </x:c>
      <x:c r="L8" s="33" t="str">
        <x:f>IF(J8=K8,"一致","需核对")</x:f>
        <x:v>一致</x:v>
      </x:c>
      <x:c r="M8" s="33" t="n">
        <x:v>1</x:v>
      </x:c>
      <x:c r="N8" s="37" t="str">
        <x:v>中式餐具推荐及价格参考-Wedgwood.pdf</x:v>
      </x:c>
      <x:c r="O8" s="37" t="str"/>
    </x:row>
    <x:row r="9" ht="34" customHeight="1">
      <x:c r="A9" s="33" t="n">
        <x:v>4</x:v>
      </x:c>
      <x:c r="B9" s="32" t="str">
        <x:v>玛戈隆特（Miracle Dynasty）</x:v>
      </x:c>
      <x:c r="C9" s="32" t="str">
        <x:v>海棠本色系列</x:v>
      </x:c>
      <x:c r="D9" s="32" t="str">
        <x:v>PDF未注明</x:v>
      </x:c>
      <x:c r="E9" s="32" t="str">
        <x:v>米饭碗</x:v>
      </x:c>
      <x:c r="F9" s="32" t="str">
        <x:v>Rice Bowl</x:v>
      </x:c>
      <x:c r="G9" s="32" t="str"/>
      <x:c r="H9" s="35" t="n">
        <x:v>45</x:v>
      </x:c>
      <x:c r="I9" s="36" t="n">
        <x:v>14</x:v>
      </x:c>
      <x:c r="J9" s="35" t="n">
        <x:f>H9*I9</x:f>
        <x:v>630</x:v>
      </x:c>
      <x:c r="K9" s="35" t="n">
        <x:v>630</x:v>
      </x:c>
      <x:c r="L9" s="33" t="str">
        <x:f>IF(J9=K9,"一致","需核对")</x:f>
        <x:v>一致</x:v>
      </x:c>
      <x:c r="M9" s="33" t="n">
        <x:v>1</x:v>
      </x:c>
      <x:c r="N9" s="37" t="str">
        <x:v>中式餐具推荐及价格参考-玛戈隆特.pdf</x:v>
      </x:c>
      <x:c r="O9" s="37" t="str"/>
    </x:row>
    <x:row r="10" ht="34" customHeight="1">
      <x:c r="A10" s="33" t="n">
        <x:v>5</x:v>
      </x:c>
      <x:c r="B10" s="32" t="str">
        <x:v>玛戈隆特（Miracle Dynasty）</x:v>
      </x:c>
      <x:c r="C10" s="32" t="str">
        <x:v>海棠本色系列</x:v>
      </x:c>
      <x:c r="D10" s="32" t="str">
        <x:v>PDF未注明</x:v>
      </x:c>
      <x:c r="E10" s="32" t="str">
        <x:v>汤碗</x:v>
      </x:c>
      <x:c r="F10" s="32" t="str">
        <x:v>Soup Bowl</x:v>
      </x:c>
      <x:c r="G10" s="32" t="str"/>
      <x:c r="H10" s="35" t="n">
        <x:v>30</x:v>
      </x:c>
      <x:c r="I10" s="36" t="n">
        <x:v>14</x:v>
      </x:c>
      <x:c r="J10" s="35" t="n">
        <x:f>H10*I10</x:f>
        <x:v>420</x:v>
      </x:c>
      <x:c r="K10" s="35" t="n">
        <x:v>420</x:v>
      </x:c>
      <x:c r="L10" s="33" t="str">
        <x:f>IF(J10=K10,"一致","需核对")</x:f>
        <x:v>一致</x:v>
      </x:c>
      <x:c r="M10" s="33" t="n">
        <x:v>1</x:v>
      </x:c>
      <x:c r="N10" s="37" t="str">
        <x:v>中式餐具推荐及价格参考-玛戈隆特.pdf</x:v>
      </x:c>
      <x:c r="O10" s="37" t="str"/>
    </x:row>
    <x:row r="11" ht="34" customHeight="1">
      <x:c r="A11" s="33" t="n">
        <x:v>6</x:v>
      </x:c>
      <x:c r="B11" s="32" t="str">
        <x:v>玛戈隆特（Miracle Dynasty）</x:v>
      </x:c>
      <x:c r="C11" s="32" t="str">
        <x:v>海棠本色系列</x:v>
      </x:c>
      <x:c r="D11" s="32" t="str">
        <x:v>PDF未注明</x:v>
      </x:c>
      <x:c r="E11" s="32" t="str">
        <x:v>汤勺</x:v>
      </x:c>
      <x:c r="F11" s="32" t="str">
        <x:v>Spoon</x:v>
      </x:c>
      <x:c r="G11" s="32" t="str"/>
      <x:c r="H11" s="35" t="n">
        <x:v>25</x:v>
      </x:c>
      <x:c r="I11" s="36" t="n">
        <x:v>14</x:v>
      </x:c>
      <x:c r="J11" s="35" t="n">
        <x:f>H11*I11</x:f>
        <x:v>350</x:v>
      </x:c>
      <x:c r="K11" s="35" t="n">
        <x:v>350</x:v>
      </x:c>
      <x:c r="L11" s="33" t="str">
        <x:f>IF(J11=K11,"一致","需核对")</x:f>
        <x:v>一致</x:v>
      </x:c>
      <x:c r="M11" s="33" t="n">
        <x:v>1</x:v>
      </x:c>
      <x:c r="N11" s="37" t="str">
        <x:v>中式餐具推荐及价格参考-玛戈隆特.pdf</x:v>
      </x:c>
      <x:c r="O11" s="37" t="str"/>
    </x:row>
    <x:row r="12" ht="34" customHeight="1">
      <x:c r="A12" s="33" t="n">
        <x:v>7</x:v>
      </x:c>
      <x:c r="B12" s="32" t="str">
        <x:v>玛戈隆特（Miracle Dynasty）</x:v>
      </x:c>
      <x:c r="C12" s="32" t="str">
        <x:v>玉兰本色系列</x:v>
      </x:c>
      <x:c r="D12" s="32" t="str">
        <x:v>PDF未注明</x:v>
      </x:c>
      <x:c r="E12" s="32" t="str">
        <x:v>米饭碗</x:v>
      </x:c>
      <x:c r="F12" s="32" t="str">
        <x:v>Rice Bowl</x:v>
      </x:c>
      <x:c r="G12" s="32" t="str"/>
      <x:c r="H12" s="35" t="n">
        <x:v>45</x:v>
      </x:c>
      <x:c r="I12" s="36" t="n">
        <x:v>14</x:v>
      </x:c>
      <x:c r="J12" s="35" t="n">
        <x:f>H12*I12</x:f>
        <x:v>630</x:v>
      </x:c>
      <x:c r="K12" s="35" t="n">
        <x:v>630</x:v>
      </x:c>
      <x:c r="L12" s="33" t="str">
        <x:f>IF(J12=K12,"一致","需核对")</x:f>
        <x:v>一致</x:v>
      </x:c>
      <x:c r="M12" s="33" t="n">
        <x:v>2</x:v>
      </x:c>
      <x:c r="N12" s="37" t="str">
        <x:v>中式餐具推荐及价格参考-玛戈隆特.pdf</x:v>
      </x:c>
      <x:c r="O12" s="37" t="str"/>
    </x:row>
    <x:row r="13" ht="34" customHeight="1">
      <x:c r="A13" s="33" t="n">
        <x:v>8</x:v>
      </x:c>
      <x:c r="B13" s="32" t="str">
        <x:v>玛戈隆特（Miracle Dynasty）</x:v>
      </x:c>
      <x:c r="C13" s="32" t="str">
        <x:v>玉兰本色系列</x:v>
      </x:c>
      <x:c r="D13" s="32" t="str">
        <x:v>PDF未注明</x:v>
      </x:c>
      <x:c r="E13" s="32" t="str">
        <x:v>汤碗</x:v>
      </x:c>
      <x:c r="F13" s="32" t="str">
        <x:v>Soup Bowl</x:v>
      </x:c>
      <x:c r="G13" s="32" t="str"/>
      <x:c r="H13" s="35" t="n">
        <x:v>45</x:v>
      </x:c>
      <x:c r="I13" s="36" t="n">
        <x:v>14</x:v>
      </x:c>
      <x:c r="J13" s="35" t="n">
        <x:f>H13*I13</x:f>
        <x:v>630</x:v>
      </x:c>
      <x:c r="K13" s="35" t="n">
        <x:v>630</x:v>
      </x:c>
      <x:c r="L13" s="33" t="str">
        <x:f>IF(J13=K13,"一致","需核对")</x:f>
        <x:v>一致</x:v>
      </x:c>
      <x:c r="M13" s="33" t="n">
        <x:v>2</x:v>
      </x:c>
      <x:c r="N13" s="37" t="str">
        <x:v>中式餐具推荐及价格参考-玛戈隆特.pdf</x:v>
      </x:c>
      <x:c r="O13" s="37" t="str"/>
    </x:row>
    <x:row r="14" ht="34" customHeight="1">
      <x:c r="A14" s="33" t="n">
        <x:v>9</x:v>
      </x:c>
      <x:c r="B14" s="32" t="str">
        <x:v>玛戈隆特（Miracle Dynasty）</x:v>
      </x:c>
      <x:c r="C14" s="32" t="str">
        <x:v>玉兰本色系列</x:v>
      </x:c>
      <x:c r="D14" s="32" t="str">
        <x:v>PDF未注明</x:v>
      </x:c>
      <x:c r="E14" s="32" t="str">
        <x:v>汤勺</x:v>
      </x:c>
      <x:c r="F14" s="32" t="str">
        <x:v>Spoon</x:v>
      </x:c>
      <x:c r="G14" s="32" t="str"/>
      <x:c r="H14" s="35" t="n">
        <x:v>29</x:v>
      </x:c>
      <x:c r="I14" s="36" t="n">
        <x:v>14</x:v>
      </x:c>
      <x:c r="J14" s="35" t="n">
        <x:f>H14*I14</x:f>
        <x:v>406</x:v>
      </x:c>
      <x:c r="K14" s="35" t="n">
        <x:v>406</x:v>
      </x:c>
      <x:c r="L14" s="33" t="str">
        <x:f>IF(J14=K14,"一致","需核对")</x:f>
        <x:v>一致</x:v>
      </x:c>
      <x:c r="M14" s="33" t="n">
        <x:v>2</x:v>
      </x:c>
      <x:c r="N14" s="37" t="str">
        <x:v>中式餐具推荐及价格参考-玛戈隆特.pdf</x:v>
      </x:c>
      <x:c r="O14" s="37" t="str"/>
    </x:row>
    <x:row r="15" ht="34" customHeight="1">
      <x:c r="A15" s="33" t="n">
        <x:v>10</x:v>
      </x:c>
      <x:c r="B15" s="32" t="str">
        <x:v>Noritake（则武）</x:v>
      </x:c>
      <x:c r="C15" s="32" t="str">
        <x:v>银边款</x:v>
      </x:c>
      <x:c r="D15" s="32" t="str">
        <x:v>ODESSA PLATINUM</x:v>
      </x:c>
      <x:c r="E15" s="32" t="str">
        <x:v>中式汤勺</x:v>
      </x:c>
      <x:c r="F15" s="32" t="str">
        <x:v>Spoon</x:v>
      </x:c>
      <x:c r="G15" s="32" t="str">
        <x:v>L:142mm W:48mm H:53mm</x:v>
      </x:c>
      <x:c r="H15" s="35" t="n">
        <x:v>130</x:v>
      </x:c>
      <x:c r="I15" s="36" t="n">
        <x:v>14</x:v>
      </x:c>
      <x:c r="J15" s="35" t="n">
        <x:f>H15*I15</x:f>
        <x:v>1820</x:v>
      </x:c>
      <x:c r="K15" s="35" t="n">
        <x:v>1820</x:v>
      </x:c>
      <x:c r="L15" s="33" t="str">
        <x:f>IF(J15=K15,"一致","需核对")</x:f>
        <x:v>一致</x:v>
      </x:c>
      <x:c r="M15" s="33" t="n">
        <x:v>1</x:v>
      </x:c>
      <x:c r="N15" s="37" t="str">
        <x:v>中式餐具推荐及参考价格-Noritake.pdf</x:v>
      </x:c>
      <x:c r="O15" s="37" t="str"/>
    </x:row>
    <x:row r="16" ht="34" customHeight="1">
      <x:c r="A16" s="33" t="n">
        <x:v>11</x:v>
      </x:c>
      <x:c r="B16" s="32" t="str">
        <x:v>Noritake（则武）</x:v>
      </x:c>
      <x:c r="C16" s="32" t="str">
        <x:v>银边款</x:v>
      </x:c>
      <x:c r="D16" s="32" t="str">
        <x:v>ODESSA PLATINUM</x:v>
      </x:c>
      <x:c r="E16" s="32" t="str">
        <x:v>米饭碗</x:v>
      </x:c>
      <x:c r="F16" s="32" t="str">
        <x:v>Rice Bowl</x:v>
      </x:c>
      <x:c r="G16" s="32" t="str">
        <x:v>D:116mm H:55mm C:280cc</x:v>
      </x:c>
      <x:c r="H16" s="35" t="n">
        <x:v>220</x:v>
      </x:c>
      <x:c r="I16" s="36" t="n">
        <x:v>14</x:v>
      </x:c>
      <x:c r="J16" s="35" t="n">
        <x:f>H16*I16</x:f>
        <x:v>3080</x:v>
      </x:c>
      <x:c r="K16" s="35" t="n">
        <x:v>3080</x:v>
      </x:c>
      <x:c r="L16" s="33" t="str">
        <x:f>IF(J16=K16,"一致","需核对")</x:f>
        <x:v>一致</x:v>
      </x:c>
      <x:c r="M16" s="33" t="n">
        <x:v>1</x:v>
      </x:c>
      <x:c r="N16" s="37" t="str">
        <x:v>中式餐具推荐及参考价格-Noritake.pdf</x:v>
      </x:c>
      <x:c r="O16" s="37" t="str"/>
    </x:row>
    <x:row r="17" ht="34" customHeight="1">
      <x:c r="A17" s="33" t="n">
        <x:v>12</x:v>
      </x:c>
      <x:c r="B17" s="32" t="str">
        <x:v>Noritake（则武）</x:v>
      </x:c>
      <x:c r="C17" s="32" t="str">
        <x:v>银边款</x:v>
      </x:c>
      <x:c r="D17" s="32" t="str">
        <x:v>ODESSA PLATINUM</x:v>
      </x:c>
      <x:c r="E17" s="32" t="str">
        <x:v>汤碗</x:v>
      </x:c>
      <x:c r="F17" s="32" t="str">
        <x:v>Soup Bowl</x:v>
      </x:c>
      <x:c r="G17" s="32" t="str">
        <x:v>D:105mm H:50mm C:210cc</x:v>
      </x:c>
      <x:c r="H17" s="35" t="n">
        <x:v>190</x:v>
      </x:c>
      <x:c r="I17" s="36" t="n">
        <x:v>14</x:v>
      </x:c>
      <x:c r="J17" s="35" t="n">
        <x:f>H17*I17</x:f>
        <x:v>2660</x:v>
      </x:c>
      <x:c r="K17" s="35" t="n">
        <x:v>2660</x:v>
      </x:c>
      <x:c r="L17" s="33" t="str">
        <x:f>IF(J17=K17,"一致","需核对")</x:f>
        <x:v>一致</x:v>
      </x:c>
      <x:c r="M17" s="33" t="n">
        <x:v>1</x:v>
      </x:c>
      <x:c r="N17" s="37" t="str">
        <x:v>中式餐具推荐及参考价格-Noritake.pdf</x:v>
      </x:c>
      <x:c r="O17" s="37" t="str"/>
    </x:row>
  </x:sheetData>
  <x:mergeCells>
    <x:mergeCell ref="A1:O1"/>
    <x:mergeCell ref="A2:O2"/>
    <x:mergeCell ref="A3:C3"/>
    <x:mergeCell ref="E3:G3"/>
    <x:mergeCell ref="H3:I3"/>
    <x:mergeCell ref="J3:L3"/>
    <x:mergeCell ref="M3:O3"/>
    <x:mergeCell ref="A4:O4"/>
  </x:mergeCells>
  <x:conditionalFormatting sqref="L6:L17">
    <x:cfRule type="containsText" dxfId="0" priority="1" operator="containsText" text="需核对"/>
    <x:cfRule type="containsText" dxfId="1" priority="2" operator="containsText" text="一致"/>
  </x:conditionalFormatting>
  <x:pageMargins left="0.7" right="0.7" top="0.75" bottom="0.75" header="0.3" footer="0.3"/>
  <x:tableParts count="1">
    <x:tablePart xmlns:r="http://schemas.openxmlformats.org/officeDocument/2006/relationships" r:id="R692e2dcb038341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2" hidden="0" customWidth="1"/>
    <x:col min="4" max="4" width="22" hidden="0" customWidth="1"/>
    <x:col min="5" max="5" width="22" hidden="0" customWidth="1"/>
    <x:col min="6" max="6" width="22" hidden="0" customWidth="1"/>
    <x:col min="7" max="7" width="13" hidden="0" customWidth="1"/>
    <x:col min="8" max="8" width="42" hidden="0" customWidth="1"/>
    <x:col min="9" max="9" width="43" hidden="0" customWidth="1"/>
  </x:cols>
  <x:sheetData>
    <x:row r="1" ht="34" customHeight="1">
      <x:c r="A1" s="4" t="str">
        <x:v>餐具系列价格汇总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8" t="str">
        <x:v>按品牌及系列汇总 PDF 标注总价，并与单价 × 数量的计算结果比较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11" t="str">
        <x:v>系列数</x:v>
      </x:c>
      <x:c r="B3" s="11"/>
      <x:c r="C3" s="11"/>
      <x:c r="D3" s="14" t="n">
        <x:f>COUNTA(A5:A8)</x:f>
        <x:v>4</x:v>
      </x:c>
      <x:c r="E3" s="11" t="str">
        <x:v>PDF 总价合计</x:v>
      </x:c>
      <x:c r="F3" s="11"/>
      <x:c r="G3" s="18" t="n">
        <x:f>SUM(D5:D8)</x:f>
        <x:v>26446</x:v>
      </x:c>
      <x:c r="H3" s="11" t="str">
        <x:v>总体差额</x:v>
      </x:c>
      <x:c r="I3" s="39" t="n">
        <x:f>SUM(F5:F8)</x:f>
        <x:v>5600</x:v>
      </x:c>
    </x:row>
    <x:row r="4" ht="34" customHeight="1">
      <x:c r="A4" s="30" t="str">
        <x:v>品牌</x:v>
      </x:c>
      <x:c r="B4" s="30" t="str">
        <x:v>系列/款式</x:v>
      </x:c>
      <x:c r="C4" s="30" t="str">
        <x:v>明细数</x:v>
      </x:c>
      <x:c r="D4" s="30" t="str">
        <x:v>PDF标注总价（RMB）</x:v>
      </x:c>
      <x:c r="E4" s="30" t="str">
        <x:v>计算总价（RMB）</x:v>
      </x:c>
      <x:c r="F4" s="30" t="str">
        <x:v>差额（RMB）</x:v>
      </x:c>
      <x:c r="G4" s="30" t="str">
        <x:v>核对</x:v>
      </x:c>
      <x:c r="H4" s="30" t="str">
        <x:v>来源文件</x:v>
      </x:c>
      <x:c r="I4" s="30" t="str">
        <x:v>备注</x:v>
      </x:c>
    </x:row>
    <x:row r="5" ht="42" customHeight="1">
      <x:c r="A5" s="32" t="str">
        <x:v>WEDGWOOD（威基伍德）</x:v>
      </x:c>
      <x:c r="B5" s="32" t="str">
        <x:v>意大利浮雕系列</x:v>
      </x:c>
      <x:c r="C5" s="33" t="n">
        <x:f>COUNTIFS('餐具明细'!$B$6:$B$17,A5,'餐具明细'!$C$6:$C$17,B5)</x:f>
        <x:v>3</x:v>
      </x:c>
      <x:c r="D5" s="35" t="n">
        <x:f>SUMIFS('餐具明细'!$K$6:$K$17,'餐具明细'!$B$6:$B$17,A5,'餐具明细'!$C$6:$C$17,B5)</x:f>
        <x:v>15820</x:v>
      </x:c>
      <x:c r="E5" s="35" t="n">
        <x:f>SUMIFS('餐具明细'!$J$6:$J$17,'餐具明细'!$B$6:$B$17,A5,'餐具明细'!$C$6:$C$17,B5)</x:f>
        <x:v>10220</x:v>
      </x:c>
      <x:c r="F5" s="35" t="n">
        <x:f>D5-E5</x:f>
        <x:v>5600</x:v>
      </x:c>
      <x:c r="G5" s="33" t="str">
        <x:f>IF(F5=0,"一致","需核对")</x:f>
        <x:v>需核对</x:v>
      </x:c>
      <x:c r="H5" s="37" t="str">
        <x:v>中式餐具推荐及价格参考-Wedgwood.pdf</x:v>
      </x:c>
      <x:c r="I5" s="37" t="str">
        <x:v>PDF 第 2 页标注系列总价 15,820 元</x:v>
      </x:c>
    </x:row>
    <x:row r="6" ht="42" customHeight="1">
      <x:c r="A6" s="32" t="str">
        <x:v>玛戈隆特（Miracle Dynasty）</x:v>
      </x:c>
      <x:c r="B6" s="32" t="str">
        <x:v>海棠本色系列</x:v>
      </x:c>
      <x:c r="C6" s="33" t="n">
        <x:f>COUNTIFS('餐具明细'!$B$6:$B$17,A6,'餐具明细'!$C$6:$C$17,B6)</x:f>
        <x:v>3</x:v>
      </x:c>
      <x:c r="D6" s="35" t="n">
        <x:f>SUMIFS('餐具明细'!$K$6:$K$17,'餐具明细'!$B$6:$B$17,A6,'餐具明细'!$C$6:$C$17,B6)</x:f>
        <x:v>1400</x:v>
      </x:c>
      <x:c r="E6" s="35" t="n">
        <x:f>SUMIFS('餐具明细'!$J$6:$J$17,'餐具明细'!$B$6:$B$17,A6,'餐具明细'!$C$6:$C$17,B6)</x:f>
        <x:v>1400</x:v>
      </x:c>
      <x:c r="F6" s="35" t="n">
        <x:f>D6-E6</x:f>
        <x:v>0</x:v>
      </x:c>
      <x:c r="G6" s="33" t="str">
        <x:f>IF(F6=0,"一致","需核对")</x:f>
        <x:v>一致</x:v>
      </x:c>
      <x:c r="H6" s="37" t="str">
        <x:v>中式餐具推荐及价格参考-玛戈隆特.pdf</x:v>
      </x:c>
      <x:c r="I6" s="37" t="str">
        <x:v>PDF 第 1 页标注系列总价 1,400 元</x:v>
      </x:c>
    </x:row>
    <x:row r="7" ht="42" customHeight="1">
      <x:c r="A7" s="32" t="str">
        <x:v>玛戈隆特（Miracle Dynasty）</x:v>
      </x:c>
      <x:c r="B7" s="32" t="str">
        <x:v>玉兰本色系列</x:v>
      </x:c>
      <x:c r="C7" s="33" t="n">
        <x:f>COUNTIFS('餐具明细'!$B$6:$B$17,A7,'餐具明细'!$C$6:$C$17,B7)</x:f>
        <x:v>3</x:v>
      </x:c>
      <x:c r="D7" s="35" t="n">
        <x:f>SUMIFS('餐具明细'!$K$6:$K$17,'餐具明细'!$B$6:$B$17,A7,'餐具明细'!$C$6:$C$17,B7)</x:f>
        <x:v>1666</x:v>
      </x:c>
      <x:c r="E7" s="35" t="n">
        <x:f>SUMIFS('餐具明细'!$J$6:$J$17,'餐具明细'!$B$6:$B$17,A7,'餐具明细'!$C$6:$C$17,B7)</x:f>
        <x:v>1666</x:v>
      </x:c>
      <x:c r="F7" s="35" t="n">
        <x:f>D7-E7</x:f>
        <x:v>0</x:v>
      </x:c>
      <x:c r="G7" s="33" t="str">
        <x:f>IF(F7=0,"一致","需核对")</x:f>
        <x:v>一致</x:v>
      </x:c>
      <x:c r="H7" s="37" t="str">
        <x:v>中式餐具推荐及价格参考-玛戈隆特.pdf</x:v>
      </x:c>
      <x:c r="I7" s="37" t="str">
        <x:v>PDF 第 2 页标注系列总价 1,666 元</x:v>
      </x:c>
    </x:row>
    <x:row r="8" ht="42" customHeight="1">
      <x:c r="A8" s="32" t="str">
        <x:v>Noritake（则武）</x:v>
      </x:c>
      <x:c r="B8" s="32" t="str">
        <x:v>银边款</x:v>
      </x:c>
      <x:c r="C8" s="33" t="n">
        <x:f>COUNTIFS('餐具明细'!$B$6:$B$17,A8,'餐具明细'!$C$6:$C$17,B8)</x:f>
        <x:v>3</x:v>
      </x:c>
      <x:c r="D8" s="35" t="n">
        <x:f>SUMIFS('餐具明细'!$K$6:$K$17,'餐具明细'!$B$6:$B$17,A8,'餐具明细'!$C$6:$C$17,B8)</x:f>
        <x:v>7560</x:v>
      </x:c>
      <x:c r="E8" s="35" t="n">
        <x:f>SUMIFS('餐具明细'!$J$6:$J$17,'餐具明细'!$B$6:$B$17,A8,'餐具明细'!$C$6:$C$17,B8)</x:f>
        <x:v>7560</x:v>
      </x:c>
      <x:c r="F8" s="35" t="n">
        <x:f>D8-E8</x:f>
        <x:v>0</x:v>
      </x:c>
      <x:c r="G8" s="33" t="str">
        <x:f>IF(F8=0,"一致","需核对")</x:f>
        <x:v>一致</x:v>
      </x:c>
      <x:c r="H8" s="37" t="str">
        <x:v>中式餐具推荐及参考价格-Noritake.pdf</x:v>
      </x:c>
      <x:c r="I8" s="37" t="str">
        <x:v>PDF 第 2 页标注系列总价 7,560 元</x:v>
      </x:c>
    </x:row>
  </x:sheetData>
  <x:mergeCells>
    <x:mergeCell ref="A1:I1"/>
    <x:mergeCell ref="A2:I2"/>
    <x:mergeCell ref="A3:C3"/>
    <x:mergeCell ref="E3:F3"/>
  </x:mergeCells>
  <x:conditionalFormatting sqref="G5:G8">
    <x:cfRule type="containsText" dxfId="2" priority="1" operator="containsText" text="需核对"/>
    <x:cfRule type="containsText" dxfId="3" priority="2" operator="containsText" text="一致"/>
  </x:conditionalFormatting>
  <x:pageMargins left="0.7" right="0.7" top="0.75" bottom="0.75" header="0.3" footer="0.3"/>
  <x:tableParts count="1">
    <x:tablePart xmlns:r="http://schemas.openxmlformats.org/officeDocument/2006/relationships" r:id="Rd8f5a1bbd6134f68"/>
  </x:tableParts>
</x:worksheet>
</file>