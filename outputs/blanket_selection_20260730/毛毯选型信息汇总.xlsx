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24627a668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毛毯选型汇总" sheetId="1" r:id="Rf621f3c7c769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#,##0"/>
  </x:numFmts>
  <x:fonts count="8">
    <x:font>
      <x:sz val="11"/>
      <x:name val="Carlito"/>
    </x:font>
    <x:font>
      <x:b/>
      <x:sz val="20"/>
      <x:color rgb="FFFFFFFF"/>
      <x:name val="Aptos Display"/>
    </x:font>
    <x:font>
      <x:sz val="10"/>
      <x:color rgb="FF33546F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b/>
      <x:sz val="10"/>
      <x:color rgb="FF375623"/>
      <x:name val="Aptos"/>
    </x:font>
    <x:font>
      <x:b/>
      <x:sz val="10"/>
      <x:color rgb="FFFFFFFF"/>
      <x:name val="Aptos"/>
    </x:font>
    <x:font>
      <x:sz val="10"/>
      <x:color rgb="FF1F1F1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horizontal="right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right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horizontal="right" vertical="center"/>
    </x:xf>
    <x:xf numFmtId="201" fontId="7" fillId="0" borderId="2" xfId="0" applyNumberFormat="1" applyFont="1" applyFill="1" applyBorder="1" applyAlignment="1">
      <x:alignment horizontal="right" vertical="center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horizontal="right" vertical="center"/>
    </x:xf>
    <x:xf numFmtId="201" fontId="7" fillId="0" borderId="3" xfId="0" applyNumberFormat="1" applyFont="1" applyFill="1" applyBorder="1" applyAlignment="1">
      <x:alignment horizontal="right" vertical="center"/>
    </x:xf>
    <x:xf numFmtId="0" fontId="7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098c8638a485a" /><Relationship Type="http://schemas.openxmlformats.org/officeDocument/2006/relationships/theme" Target="/xl/theme/theme1.xml" Id="R8f0807184c7e45f6" /><Relationship Type="http://schemas.openxmlformats.org/officeDocument/2006/relationships/sharedStrings" Target="/xl/sharedStrings.xml" Id="R3802b5bff71742fd" /><Relationship Type="http://schemas.openxmlformats.org/officeDocument/2006/relationships/worksheet" Target="/xl/worksheets/sheet1.xml" Id="Rf621f3c7c7694e68" /></Relationships>
</file>

<file path=xl/tables/table1.xml><?xml version="1.0" encoding="utf-8"?>
<x:table xmlns:x="http://schemas.openxmlformats.org/spreadsheetml/2006/main" id="1" name="BlanketOptionsTable" displayName="BlanketOptionsTable" ref="A4:L19" headerRowCount="1" totalsRowCount="0" totalsRowShown="0">
  <x:autoFilter ref="A4:L19"/>
  <x:tableColumns count="12">
    <x:tableColumn id="1" name="序号"/>
    <x:tableColumn id="2" name="品牌"/>
    <x:tableColumn id="3" name="毛毯名称"/>
    <x:tableColumn id="4" name="规格/尺寸"/>
    <x:tableColumn id="5" name="单价（CNY/条）"/>
    <x:tableColumn id="6" name="数量（条）"/>
    <x:tableColumn id="7" name="15条总价（CNY）"/>
    <x:tableColumn id="8" name="PPT标注总价（CNY）"/>
    <x:tableColumn id="9" name="核对"/>
    <x:tableColumn id="10" name="颜色/图案"/>
    <x:tableColumn id="11" name="PPT页码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9aafbcfabc42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7" hidden="0" customWidth="1"/>
    <x:col min="4" max="4" width="18" hidden="0" customWidth="1"/>
    <x:col min="5" max="5" width="17" hidden="0" customWidth="1"/>
    <x:col min="6" max="6" width="11" hidden="0" customWidth="1"/>
    <x:col min="7" max="7" width="19" hidden="0" customWidth="1"/>
    <x:col min="8" max="8" width="21" hidden="0" customWidth="1"/>
    <x:col min="9" max="9" width="11" hidden="0" customWidth="1"/>
    <x:col min="10" max="10" width="28" hidden="0" customWidth="1"/>
    <x:col min="11" max="11" width="11" hidden="0" customWidth="1"/>
    <x:col min="12" max="12" width="48" hidden="0" customWidth="1"/>
  </x:cols>
  <x:sheetData>
    <x:row r="1" ht="34" customHeight="1">
      <x:c r="A1" s="33" t="str">
        <x:v>毛毯选型信息汇总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24" customHeight="1">
      <x:c r="A2" s="34" t="str">
        <x:v>来源：毛毯选择.pptx｜共 15 个规格选项｜数量统一按 15 条计算｜币种：人民币（CNY）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A3" s="35" t="str">
        <x:v>规格选项数</x:v>
      </x:c>
      <x:c r="B3" s="35"/>
      <x:c r="C3" s="35"/>
      <x:c r="D3" s="36" t="n">
        <x:f>COUNTA(A5:A19)</x:f>
        <x:v>15</x:v>
      </x:c>
      <x:c r="E3" s="35" t="str">
        <x:v>全部选项各采购 15 条合计</x:v>
      </x:c>
      <x:c r="F3" s="35"/>
      <x:c r="G3" s="35"/>
      <x:c r="H3" s="37" t="n">
        <x:f>SUM(G5:G19)</x:f>
        <x:v>1523505</x:v>
      </x:c>
      <x:c r="I3" s="35" t="str">
        <x:v>金额核对结果</x:v>
      </x:c>
      <x:c r="J3" s="35"/>
      <x:c r="K3" s="38" t="str">
        <x:f>IF(COUNTIF(I5:I19,"&lt;&gt;一致")=0,"全部一致","存在差异")</x:f>
        <x:v>全部一致</x:v>
      </x:c>
      <x:c r="L3" s="38"/>
    </x:row>
    <x:row r="4" ht="34" customHeight="1">
      <x:c r="A4" s="39" t="str">
        <x:v>序号</x:v>
      </x:c>
      <x:c r="B4" s="39" t="str">
        <x:v>品牌</x:v>
      </x:c>
      <x:c r="C4" s="39" t="str">
        <x:v>毛毯名称</x:v>
      </x:c>
      <x:c r="D4" s="39" t="str">
        <x:v>规格/尺寸</x:v>
      </x:c>
      <x:c r="E4" s="39" t="str">
        <x:v>单价（CNY/条）</x:v>
      </x:c>
      <x:c r="F4" s="39" t="str">
        <x:v>数量（条）</x:v>
      </x:c>
      <x:c r="G4" s="39" t="str">
        <x:v>15条总价（CNY）</x:v>
      </x:c>
      <x:c r="H4" s="39" t="str">
        <x:v>PPT标注总价（CNY）</x:v>
      </x:c>
      <x:c r="I4" s="39" t="str">
        <x:v>核对</x:v>
      </x:c>
      <x:c r="J4" s="39" t="str">
        <x:v>颜色/图案</x:v>
      </x:c>
      <x:c r="K4" s="39" t="str">
        <x:v>PPT页码</x:v>
      </x:c>
      <x:c r="L4" s="39" t="str">
        <x:v>备注</x:v>
      </x:c>
    </x:row>
    <x:row r="5" ht="34" customHeight="1">
      <x:c r="A5" s="40" t="n">
        <x:v>1</x:v>
      </x:c>
      <x:c r="B5" s="41" t="str">
        <x:v>Frette</x:v>
      </x:c>
      <x:c r="C5" s="41" t="str">
        <x:v>羊毛毯</x:v>
      </x:c>
      <x:c r="D5" s="40" t="str">
        <x:v>135cm × 220cm</x:v>
      </x:c>
      <x:c r="E5" s="42" t="n">
        <x:v>18000</x:v>
      </x:c>
      <x:c r="F5" s="43" t="n">
        <x:v>15</x:v>
      </x:c>
      <x:c r="G5" s="42" t="n">
        <x:f>E5*F5</x:f>
        <x:v>270000</x:v>
      </x:c>
      <x:c r="H5" s="42" t="n">
        <x:v>270000</x:v>
      </x:c>
      <x:c r="I5" s="40" t="str">
        <x:f>IF(G5=H5,"一致","需核对")</x:f>
        <x:v>一致</x:v>
      </x:c>
      <x:c r="J5" s="44" t="str">
        <x:v>驼色/暖白色；另有多款图案和颜色</x:v>
      </x:c>
      <x:c r="K5" s="40" t="n">
        <x:v>3</x:v>
      </x:c>
      <x:c r="L5" s="44" t="str"/>
    </x:row>
    <x:row r="6" ht="34" customHeight="1">
      <x:c r="A6" s="40" t="n">
        <x:v>2</x:v>
      </x:c>
      <x:c r="B6" s="41" t="str">
        <x:v>Frette</x:v>
      </x:c>
      <x:c r="C6" s="41" t="str">
        <x:v>格纹羊绒毯</x:v>
      </x:c>
      <x:c r="D6" s="40" t="str">
        <x:v>130cm × 185cm</x:v>
      </x:c>
      <x:c r="E6" s="42" t="n">
        <x:v>27300</x:v>
      </x:c>
      <x:c r="F6" s="43" t="n">
        <x:v>15</x:v>
      </x:c>
      <x:c r="G6" s="42" t="n">
        <x:f>E6*F6</x:f>
        <x:v>409500</x:v>
      </x:c>
      <x:c r="H6" s="42" t="n">
        <x:v>409500</x:v>
      </x:c>
      <x:c r="I6" s="40" t="str">
        <x:f>IF(G6=H6,"一致","需核对")</x:f>
        <x:v>一致</x:v>
      </x:c>
      <x:c r="J6" s="44" t="str">
        <x:v>多款图案和颜色可选</x:v>
      </x:c>
      <x:c r="K6" s="40" t="n">
        <x:v>4</x:v>
      </x:c>
      <x:c r="L6" s="44" t="str"/>
    </x:row>
    <x:row r="7" ht="34" customHeight="1">
      <x:c r="A7" s="40" t="n">
        <x:v>3</x:v>
      </x:c>
      <x:c r="B7" s="41" t="str">
        <x:v>Frette</x:v>
      </x:c>
      <x:c r="C7" s="41" t="str">
        <x:v>纯色羊绒毯</x:v>
      </x:c>
      <x:c r="D7" s="40" t="str">
        <x:v>130cm × 185cm</x:v>
      </x:c>
      <x:c r="E7" s="42" t="n">
        <x:v>13000</x:v>
      </x:c>
      <x:c r="F7" s="43" t="n">
        <x:v>15</x:v>
      </x:c>
      <x:c r="G7" s="42" t="n">
        <x:f>E7*F7</x:f>
        <x:v>195000</x:v>
      </x:c>
      <x:c r="H7" s="42" t="n">
        <x:v>195000</x:v>
      </x:c>
      <x:c r="I7" s="40" t="str">
        <x:f>IF(G7=H7,"一致","需核对")</x:f>
        <x:v>一致</x:v>
      </x:c>
      <x:c r="J7" s="44" t="str">
        <x:v>多款颜色可选</x:v>
      </x:c>
      <x:c r="K7" s="40" t="n">
        <x:v>5</x:v>
      </x:c>
      <x:c r="L7" s="44" t="str"/>
    </x:row>
    <x:row r="8" ht="34" customHeight="1">
      <x:c r="A8" s="40" t="n">
        <x:v>4</x:v>
      </x:c>
      <x:c r="B8" s="41" t="str">
        <x:v>Pratesi</x:v>
      </x:c>
      <x:c r="C8" s="41" t="str">
        <x:v>纯色包边羊绒毯</x:v>
      </x:c>
      <x:c r="D8" s="40" t="str">
        <x:v>140cm × 180cm</x:v>
      </x:c>
      <x:c r="E8" s="42" t="n">
        <x:v>16210</x:v>
      </x:c>
      <x:c r="F8" s="43" t="n">
        <x:v>15</x:v>
      </x:c>
      <x:c r="G8" s="42" t="n">
        <x:f>E8*F8</x:f>
        <x:v>243150</x:v>
      </x:c>
      <x:c r="H8" s="42" t="n">
        <x:v>243150</x:v>
      </x:c>
      <x:c r="I8" s="40" t="str">
        <x:f>IF(G8=H8,"一致","需核对")</x:f>
        <x:v>一致</x:v>
      </x:c>
      <x:c r="J8" s="44" t="str">
        <x:v>三种颜色可选</x:v>
      </x:c>
      <x:c r="K8" s="40" t="n">
        <x:v>7</x:v>
      </x:c>
      <x:c r="L8" s="44" t="str"/>
    </x:row>
    <x:row r="9" ht="34" customHeight="1">
      <x:c r="A9" s="40" t="n">
        <x:v>5</x:v>
      </x:c>
      <x:c r="B9" s="41" t="str">
        <x:v>Pratesi</x:v>
      </x:c>
      <x:c r="C9" s="41" t="str">
        <x:v>条纹图案羊绒毯</x:v>
      </x:c>
      <x:c r="D9" s="40" t="str">
        <x:v>129cm × 178cm</x:v>
      </x:c>
      <x:c r="E9" s="42" t="n">
        <x:v>5420</x:v>
      </x:c>
      <x:c r="F9" s="43" t="n">
        <x:v>15</x:v>
      </x:c>
      <x:c r="G9" s="42" t="n">
        <x:f>E9*F9</x:f>
        <x:v>81300</x:v>
      </x:c>
      <x:c r="H9" s="42" t="n">
        <x:v>81300</x:v>
      </x:c>
      <x:c r="I9" s="40" t="str">
        <x:f>IF(G9=H9,"一致","需核对")</x:f>
        <x:v>一致</x:v>
      </x:c>
      <x:c r="J9" s="44" t="str">
        <x:v>多种颜色可选</x:v>
      </x:c>
      <x:c r="K9" s="40" t="n">
        <x:v>8</x:v>
      </x:c>
      <x:c r="L9" s="44" t="str"/>
    </x:row>
    <x:row r="10" ht="34" customHeight="1">
      <x:c r="A10" s="40" t="n">
        <x:v>6</x:v>
      </x:c>
      <x:c r="B10" s="41" t="str">
        <x:v>Somma</x:v>
      </x:c>
      <x:c r="C10" s="41" t="str">
        <x:v>纯色澳洲羊毛毯</x:v>
      </x:c>
      <x:c r="D10" s="40" t="str">
        <x:v>130cm × 170cm</x:v>
      </x:c>
      <x:c r="E10" s="42" t="n">
        <x:v>779</x:v>
      </x:c>
      <x:c r="F10" s="43" t="n">
        <x:v>15</x:v>
      </x:c>
      <x:c r="G10" s="42" t="n">
        <x:f>E10*F10</x:f>
        <x:v>11685</x:v>
      </x:c>
      <x:c r="H10" s="42" t="n">
        <x:v>11685</x:v>
      </x:c>
      <x:c r="I10" s="40" t="str">
        <x:f>IF(G10=H10,"一致","需核对")</x:f>
        <x:v>一致</x:v>
      </x:c>
      <x:c r="J10" s="44" t="str">
        <x:v>三种颜色可选</x:v>
      </x:c>
      <x:c r="K10" s="40" t="n">
        <x:v>10</x:v>
      </x:c>
      <x:c r="L10" s="44" t="str"/>
    </x:row>
    <x:row r="11" ht="34" customHeight="1">
      <x:c r="A11" s="40" t="n">
        <x:v>7</x:v>
      </x:c>
      <x:c r="B11" s="41" t="str">
        <x:v>Somma</x:v>
      </x:c>
      <x:c r="C11" s="41" t="str">
        <x:v>纯羊绒·缎面包边毯</x:v>
      </x:c>
      <x:c r="D11" s="40" t="str">
        <x:v>130cm × 180cm</x:v>
      </x:c>
      <x:c r="E11" s="42" t="n">
        <x:v>13900</x:v>
      </x:c>
      <x:c r="F11" s="43" t="n">
        <x:v>15</x:v>
      </x:c>
      <x:c r="G11" s="42" t="n">
        <x:f>E11*F11</x:f>
        <x:v>208500</x:v>
      </x:c>
      <x:c r="H11" s="42" t="n">
        <x:v>208500</x:v>
      </x:c>
      <x:c r="I11" s="40" t="str">
        <x:f>IF(G11=H11,"一致","需核对")</x:f>
        <x:v>一致</x:v>
      </x:c>
      <x:c r="J11" s="44" t="str">
        <x:v>三种颜色可选</x:v>
      </x:c>
      <x:c r="K11" s="40" t="n">
        <x:v>11</x:v>
      </x:c>
      <x:c r="L11" s="44" t="str"/>
    </x:row>
    <x:row r="12" ht="34" customHeight="1">
      <x:c r="A12" s="40" t="n">
        <x:v>8</x:v>
      </x:c>
      <x:c r="B12" s="41" t="str">
        <x:v>Lola Blankets</x:v>
      </x:c>
      <x:c r="C12" s="41" t="str">
        <x:v>Lola Blankets 毛毯</x:v>
      </x:c>
      <x:c r="D12" s="40" t="str">
        <x:v>建议 M 或 L</x:v>
      </x:c>
      <x:c r="E12" s="42" t="n">
        <x:v>2200</x:v>
      </x:c>
      <x:c r="F12" s="43" t="n">
        <x:v>15</x:v>
      </x:c>
      <x:c r="G12" s="42" t="n">
        <x:f>E12*F12</x:f>
        <x:v>33000</x:v>
      </x:c>
      <x:c r="H12" s="42" t="n">
        <x:v>33000</x:v>
      </x:c>
      <x:c r="I12" s="40" t="str">
        <x:f>IF(G12=H12,"一致","需核对")</x:f>
        <x:v>一致</x:v>
      </x:c>
      <x:c r="J12" s="44" t="str">
        <x:v>多种颜色、图案、尺寸可选</x:v>
      </x:c>
      <x:c r="K12" s="40" t="n">
        <x:v>14</x:v>
      </x:c>
      <x:c r="L12" s="44" t="str">
        <x:v>PPT 未给出具体款名；材质说明为 OEKO-TEX Standard 100 认证仿皮草面料</x:v>
      </x:c>
    </x:row>
    <x:row r="13" ht="34" customHeight="1">
      <x:c r="A13" s="40" t="n">
        <x:v>9</x:v>
      </x:c>
      <x:c r="B13" s="41" t="str">
        <x:v>澜品 MISS LAPIN</x:v>
      </x:c>
      <x:c r="C13" s="41" t="str">
        <x:v>100%羊毛锁边毯</x:v>
      </x:c>
      <x:c r="D13" s="40" t="str">
        <x:v>150cm × 220cm</x:v>
      </x:c>
      <x:c r="E13" s="42" t="n">
        <x:v>889</x:v>
      </x:c>
      <x:c r="F13" s="43" t="n">
        <x:v>15</x:v>
      </x:c>
      <x:c r="G13" s="42" t="n">
        <x:f>E13*F13</x:f>
        <x:v>13335</x:v>
      </x:c>
      <x:c r="H13" s="42" t="n">
        <x:v>13335</x:v>
      </x:c>
      <x:c r="I13" s="40" t="str">
        <x:f>IF(G13=H13,"一致","需核对")</x:f>
        <x:v>一致</x:v>
      </x:c>
      <x:c r="J13" s="44" t="str">
        <x:v>多种颜色可选</x:v>
      </x:c>
      <x:c r="K13" s="40" t="n">
        <x:v>16</x:v>
      </x:c>
      <x:c r="L13" s="44" t="str"/>
    </x:row>
    <x:row r="14" ht="34" customHeight="1">
      <x:c r="A14" s="40" t="n">
        <x:v>10</x:v>
      </x:c>
      <x:c r="B14" s="41" t="str">
        <x:v>澜品 MISS LAPIN</x:v>
      </x:c>
      <x:c r="C14" s="41" t="str">
        <x:v>100%羊毛锁边毯</x:v>
      </x:c>
      <x:c r="D14" s="40" t="str">
        <x:v>120cm × 150cm</x:v>
      </x:c>
      <x:c r="E14" s="42" t="n">
        <x:v>669</x:v>
      </x:c>
      <x:c r="F14" s="43" t="n">
        <x:v>15</x:v>
      </x:c>
      <x:c r="G14" s="42" t="n">
        <x:f>E14*F14</x:f>
        <x:v>10035</x:v>
      </x:c>
      <x:c r="H14" s="42" t="n">
        <x:v>10035</x:v>
      </x:c>
      <x:c r="I14" s="40" t="str">
        <x:f>IF(G14=H14,"一致","需核对")</x:f>
        <x:v>一致</x:v>
      </x:c>
      <x:c r="J14" s="44" t="str">
        <x:v>多种颜色可选</x:v>
      </x:c>
      <x:c r="K14" s="40" t="n">
        <x:v>16</x:v>
      </x:c>
      <x:c r="L14" s="44" t="str">
        <x:v>PPT 原文为“CNT669”，结合上下文按 CNY 669 整理</x:v>
      </x:c>
    </x:row>
    <x:row r="15" ht="34" customHeight="1">
      <x:c r="A15" s="40" t="n">
        <x:v>11</x:v>
      </x:c>
      <x:c r="B15" s="41" t="str">
        <x:v>澜品 MISS LAPIN</x:v>
      </x:c>
      <x:c r="C15" s="41" t="str">
        <x:v>10%羊毛 + 晴纶混合织毯</x:v>
      </x:c>
      <x:c r="D15" s="40" t="str">
        <x:v>120cm × 170cm</x:v>
      </x:c>
      <x:c r="E15" s="42" t="n">
        <x:v>500</x:v>
      </x:c>
      <x:c r="F15" s="43" t="n">
        <x:v>15</x:v>
      </x:c>
      <x:c r="G15" s="42" t="n">
        <x:f>E15*F15</x:f>
        <x:v>7500</x:v>
      </x:c>
      <x:c r="H15" s="42" t="n">
        <x:v>7500</x:v>
      </x:c>
      <x:c r="I15" s="40" t="str">
        <x:f>IF(G15=H15,"一致","需核对")</x:f>
        <x:v>一致</x:v>
      </x:c>
      <x:c r="J15" s="44" t="str">
        <x:v>两种颜色可选</x:v>
      </x:c>
      <x:c r="K15" s="40" t="n">
        <x:v>17</x:v>
      </x:c>
      <x:c r="L15" s="44" t="str">
        <x:v>“晴纶”按 PPT 原文保留</x:v>
      </x:c>
    </x:row>
    <x:row r="16" ht="34" customHeight="1">
      <x:c r="A16" s="40" t="n">
        <x:v>12</x:v>
      </x:c>
      <x:c r="B16" s="41" t="str">
        <x:v>澜品 MISS LAPIN</x:v>
      </x:c>
      <x:c r="C16" s="41" t="str">
        <x:v>缎面锁边天鹅绒毯</x:v>
      </x:c>
      <x:c r="D16" s="40" t="str">
        <x:v>110cm × 150cm</x:v>
      </x:c>
      <x:c r="E16" s="42" t="n">
        <x:v>200</x:v>
      </x:c>
      <x:c r="F16" s="43" t="n">
        <x:v>15</x:v>
      </x:c>
      <x:c r="G16" s="42" t="n">
        <x:f>E16*F16</x:f>
        <x:v>3000</x:v>
      </x:c>
      <x:c r="H16" s="42" t="n">
        <x:v>3000</x:v>
      </x:c>
      <x:c r="I16" s="40" t="str">
        <x:f>IF(G16=H16,"一致","需核对")</x:f>
        <x:v>一致</x:v>
      </x:c>
      <x:c r="J16" s="44" t="str">
        <x:v>深灰、银灰、浅咖</x:v>
      </x:c>
      <x:c r="K16" s="40" t="n">
        <x:v>18</x:v>
      </x:c>
      <x:c r="L16" s="44" t="str"/>
    </x:row>
    <x:row r="17" ht="34" customHeight="1">
      <x:c r="A17" s="40" t="n">
        <x:v>13</x:v>
      </x:c>
      <x:c r="B17" s="41" t="str">
        <x:v>澜品 MISS LAPIN</x:v>
      </x:c>
      <x:c r="C17" s="41" t="str">
        <x:v>缎面锁边天鹅绒毯</x:v>
      </x:c>
      <x:c r="D17" s="40" t="str">
        <x:v>140cm × 220cm</x:v>
      </x:c>
      <x:c r="E17" s="42" t="n">
        <x:v>400</x:v>
      </x:c>
      <x:c r="F17" s="43" t="n">
        <x:v>15</x:v>
      </x:c>
      <x:c r="G17" s="42" t="n">
        <x:f>E17*F17</x:f>
        <x:v>6000</x:v>
      </x:c>
      <x:c r="H17" s="42" t="n">
        <x:v>6000</x:v>
      </x:c>
      <x:c r="I17" s="40" t="str">
        <x:f>IF(G17=H17,"一致","需核对")</x:f>
        <x:v>一致</x:v>
      </x:c>
      <x:c r="J17" s="44" t="str">
        <x:v>深灰、银灰、浅咖</x:v>
      </x:c>
      <x:c r="K17" s="40" t="n">
        <x:v>18</x:v>
      </x:c>
      <x:c r="L17" s="44" t="str"/>
    </x:row>
    <x:row r="18" ht="34" customHeight="1">
      <x:c r="A18" s="40" t="n">
        <x:v>14</x:v>
      </x:c>
      <x:c r="B18" s="41" t="str">
        <x:v>AIURTRUUTTI</x:v>
      </x:c>
      <x:c r="C18" s="41" t="str">
        <x:v>纯羔羊绒毯</x:v>
      </x:c>
      <x:c r="D18" s="40" t="str">
        <x:v>130cm × 200cm</x:v>
      </x:c>
      <x:c r="E18" s="42" t="n">
        <x:v>1000</x:v>
      </x:c>
      <x:c r="F18" s="43" t="n">
        <x:v>15</x:v>
      </x:c>
      <x:c r="G18" s="42" t="n">
        <x:f>E18*F18</x:f>
        <x:v>15000</x:v>
      </x:c>
      <x:c r="H18" s="42" t="n">
        <x:v>15000</x:v>
      </x:c>
      <x:c r="I18" s="40" t="str">
        <x:f>IF(G18=H18,"一致","需核对")</x:f>
        <x:v>一致</x:v>
      </x:c>
      <x:c r="J18" s="44" t="str">
        <x:v>六种颜色可选</x:v>
      </x:c>
      <x:c r="K18" s="40" t="n">
        <x:v>20</x:v>
      </x:c>
      <x:c r="L18" s="44" t="str">
        <x:v>可绣名字；可拆流苏</x:v>
      </x:c>
    </x:row>
    <x:row r="19" ht="34" customHeight="1">
      <x:c r="A19" s="45" t="n">
        <x:v>15</x:v>
      </x:c>
      <x:c r="B19" s="46" t="str">
        <x:v>AIURTRUUTTI</x:v>
      </x:c>
      <x:c r="C19" s="46" t="str">
        <x:v>羊毛毯</x:v>
      </x:c>
      <x:c r="D19" s="45" t="str">
        <x:v>120cm × 180cm</x:v>
      </x:c>
      <x:c r="E19" s="47" t="n">
        <x:v>1100</x:v>
      </x:c>
      <x:c r="F19" s="48" t="n">
        <x:v>15</x:v>
      </x:c>
      <x:c r="G19" s="47" t="n">
        <x:f>E19*F19</x:f>
        <x:v>16500</x:v>
      </x:c>
      <x:c r="H19" s="47" t="n">
        <x:v>16500</x:v>
      </x:c>
      <x:c r="I19" s="45" t="str">
        <x:f>IF(G19=H19,"一致","需核对")</x:f>
        <x:v>一致</x:v>
      </x:c>
      <x:c r="J19" s="49" t="str">
        <x:v>四种颜色可选</x:v>
      </x:c>
      <x:c r="K19" s="45" t="n">
        <x:v>21</x:v>
      </x:c>
      <x:c r="L19" s="49" t="str"/>
    </x:row>
  </x:sheetData>
  <x:mergeCells>
    <x:mergeCell ref="A1:L1"/>
    <x:mergeCell ref="A2:L2"/>
    <x:mergeCell ref="A3:C3"/>
    <x:mergeCell ref="E3:G3"/>
    <x:mergeCell ref="I3:J3"/>
    <x:mergeCell ref="K3:L3"/>
  </x:mergeCells>
  <x:conditionalFormatting sqref="I5:I19">
    <x:cfRule type="containsText" dxfId="0" priority="1" operator="containsText" text="需核对"/>
    <x:cfRule type="containsText" dxfId="1" priority="2" operator="containsText" text="一致"/>
  </x:conditionalFormatting>
  <x:pageMargins left="0.7" right="0.7" top="0.75" bottom="0.75" header="0.3" footer="0.3"/>
  <x:tableParts count="1">
    <x:tablePart xmlns:r="http://schemas.openxmlformats.org/officeDocument/2006/relationships" r:id="R159aafbcfabc42c5"/>
  </x:tableParts>
</x:worksheet>
</file>